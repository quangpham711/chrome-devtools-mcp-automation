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Results" sheetId="2" state="visible" r:id="rId2"/>
    <sheet name="NoteBug" sheetId="3" state="visible" r:id="rId3"/>
  </sheets>
  <definedNames>
    <definedName name="_xlnm._FilterDatabase" localSheetId="1" hidden="1">'TestResults'!$A$1:$K$8</definedName>
    <definedName name="_xlnm._FilterDatabase" localSheetId="2" hidden="1">'NoteBug'!$A$1:$J$2</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color rgb="00FFFFFF"/>
      <sz val="14"/>
    </font>
    <font>
      <b val="1"/>
    </font>
    <font>
      <b val="1"/>
      <color rgb="00FFFFFF"/>
    </font>
    <font>
      <b val="1"/>
      <color rgb="00006100"/>
    </font>
    <font>
      <b val="1"/>
      <color rgb="009C0006"/>
    </font>
    <font>
      <b val="1"/>
      <color rgb="001F4E78"/>
      <sz val="11"/>
    </font>
    <font>
      <name val="Calibri"/>
      <b val="1"/>
      <color rgb="00FFFFFF"/>
      <sz val="11"/>
    </font>
    <font>
      <color rgb="000563C1"/>
      <u val="single"/>
    </font>
  </fonts>
  <fills count="8">
    <fill>
      <patternFill/>
    </fill>
    <fill>
      <patternFill patternType="gray125"/>
    </fill>
    <fill>
      <patternFill patternType="solid">
        <fgColor rgb="001F4E78"/>
        <bgColor rgb="001F4E78"/>
      </patternFill>
    </fill>
    <fill>
      <patternFill patternType="solid">
        <fgColor rgb="00C6EFCE"/>
        <bgColor rgb="00C6EFCE"/>
      </patternFill>
    </fill>
    <fill>
      <patternFill patternType="solid">
        <fgColor rgb="00FFC7CE"/>
        <bgColor rgb="00FFC7CE"/>
      </patternFill>
    </fill>
    <fill>
      <patternFill patternType="solid">
        <fgColor rgb="00D9E1F2"/>
        <bgColor rgb="00D9E1F2"/>
      </patternFill>
    </fill>
    <fill>
      <patternFill patternType="solid">
        <fgColor rgb="00F9FAFB"/>
        <bgColor rgb="00F9FAFB"/>
      </patternFill>
    </fill>
    <fill>
      <patternFill patternType="solid">
        <fgColor rgb="008B0000"/>
        <bgColor rgb="008B00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xf>
    <xf numFmtId="0" fontId="2" fillId="0" borderId="1" pivotButton="0" quotePrefix="0" xfId="0"/>
    <xf numFmtId="0" fontId="2" fillId="0" borderId="1" applyAlignment="1" pivotButton="0" quotePrefix="0" xfId="0">
      <alignment horizontal="center" vertical="center"/>
    </xf>
    <xf numFmtId="0" fontId="4" fillId="3" borderId="1" applyAlignment="1" pivotButton="0" quotePrefix="0" xfId="0">
      <alignment horizontal="center" vertical="center"/>
    </xf>
    <xf numFmtId="0" fontId="5" fillId="4" borderId="1" applyAlignment="1" pivotButton="0" quotePrefix="0" xfId="0">
      <alignment horizontal="center" vertical="center"/>
    </xf>
    <xf numFmtId="164" fontId="2" fillId="0" borderId="1" applyAlignment="1" pivotButton="0" quotePrefix="0" xfId="0">
      <alignment horizontal="center" vertical="center"/>
    </xf>
    <xf numFmtId="0" fontId="6" fillId="5" borderId="0"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7"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8" fillId="0" borderId="1" applyAlignment="1" pivotButton="0" quotePrefix="0" xfId="0">
      <alignment horizontal="center" vertical="top" wrapText="1"/>
    </xf>
    <xf numFmtId="0" fontId="4" fillId="3" borderId="1" applyAlignment="1" pivotButton="0" quotePrefix="0" xfId="0">
      <alignment horizontal="center" vertical="top" wrapText="1"/>
    </xf>
    <xf numFmtId="0" fontId="0" fillId="6" borderId="1" applyAlignment="1" pivotButton="0" quotePrefix="0" xfId="0">
      <alignment horizontal="center" vertical="top" wrapText="1"/>
    </xf>
    <xf numFmtId="0" fontId="0" fillId="6" borderId="1" applyAlignment="1" pivotButton="0" quotePrefix="0" xfId="0">
      <alignment horizontal="left" vertical="top" wrapText="1"/>
    </xf>
    <xf numFmtId="0" fontId="8" fillId="6" borderId="1" applyAlignment="1" pivotButton="0" quotePrefix="0" xfId="0">
      <alignment horizontal="center" vertical="top" wrapText="1"/>
    </xf>
    <xf numFmtId="0" fontId="5" fillId="4" borderId="1" applyAlignment="1" pivotButton="0" quotePrefix="0" xfId="0">
      <alignment horizontal="center" vertical="top" wrapText="1"/>
    </xf>
    <xf numFmtId="0" fontId="7"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1</row>
      <rowOff>0</rowOff>
    </from>
    <ext cx="1905000" cy="10668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reports/screenshots/COMP_TC_01.png" TargetMode="External" Id="rId1" /><Relationship Type="http://schemas.openxmlformats.org/officeDocument/2006/relationships/hyperlink" Target="reports/screenshots/COMP_TC_02.png" TargetMode="External" Id="rId2" /><Relationship Type="http://schemas.openxmlformats.org/officeDocument/2006/relationships/hyperlink" Target="reports/screenshots/COMP_TC_03.png" TargetMode="External" Id="rId3" /><Relationship Type="http://schemas.openxmlformats.org/officeDocument/2006/relationships/hyperlink" Target="reports/screenshots/COMP_TC_04.png" TargetMode="External" Id="rId4" /><Relationship Type="http://schemas.openxmlformats.org/officeDocument/2006/relationships/hyperlink" Target="reports/screenshots/COMP_TC_05.png" TargetMode="External" Id="rId5" /><Relationship Type="http://schemas.openxmlformats.org/officeDocument/2006/relationships/hyperlink" Target="reports/screenshots/COMP_TC_06.png" TargetMode="External" Id="rId6" /><Relationship Type="http://schemas.openxmlformats.org/officeDocument/2006/relationships/hyperlink" Target="reports/screenshots/COMP_TC_07.png" TargetMode="External" Id="rId7"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4" customWidth="1" min="1" max="1"/>
    <col width="28" customWidth="1" min="2" max="2"/>
    <col width="28" customWidth="1" min="3" max="3"/>
    <col width="18" customWidth="1" min="4" max="4"/>
    <col width="18" customWidth="1" min="5" max="5"/>
  </cols>
  <sheetData>
    <row r="1" ht="24" customHeight="1">
      <c r="A1" s="1" t="inlineStr">
        <is>
          <t>BÁO CÁO TỔNG QUAN KIỂM THỬ (AUTOMATION TEST SUMMARY)</t>
        </is>
      </c>
    </row>
    <row r="2" ht="24" customHeight="1"/>
    <row r="3">
      <c r="B3" s="2" t="inlineStr">
        <is>
          <t>Bộ kịch bản:</t>
        </is>
      </c>
      <c r="C3" t="inlineStr">
        <is>
          <t>Kiểm thử Hệ thống MiDesk CRM (Pizza 4P's UAT)</t>
        </is>
      </c>
    </row>
    <row r="4">
      <c r="B4" s="2" t="inlineStr">
        <is>
          <t>URL Kiểm thử:</t>
        </is>
      </c>
      <c r="C4" t="inlineStr">
        <is>
          <t>https://pizza4ps-uat.midesk.vn/vi</t>
        </is>
      </c>
    </row>
    <row r="5">
      <c r="B5" s="2" t="inlineStr">
        <is>
          <t>Thời gian xuất báo cáo:</t>
        </is>
      </c>
      <c r="C5" t="inlineStr">
        <is>
          <t>2026-10-16 13:08:22</t>
        </is>
      </c>
    </row>
    <row r="6">
      <c r="B6" s="3" t="inlineStr">
        <is>
          <t>CHỈ SỐ ĐO LƯỜNG (KPI)</t>
        </is>
      </c>
      <c r="C6" s="3" t="inlineStr">
        <is>
          <t>GIÁ TRỊ</t>
        </is>
      </c>
    </row>
    <row r="7">
      <c r="B7" s="4" t="inlineStr">
        <is>
          <t>Tổng số Test Case</t>
        </is>
      </c>
      <c r="C7" s="5">
        <f>COUNTA(TestResults!A2:A100)</f>
        <v/>
      </c>
    </row>
    <row r="8">
      <c r="B8" s="4" t="inlineStr">
        <is>
          <t>Số lượng PASS</t>
        </is>
      </c>
      <c r="C8" s="6">
        <f>COUNTIF(TestResults!I2:I100, "PASS")</f>
        <v/>
      </c>
    </row>
    <row r="9">
      <c r="B9" s="4" t="inlineStr">
        <is>
          <t>Số lượng FAIL</t>
        </is>
      </c>
      <c r="C9" s="7">
        <f>COUNTIF(TestResults!I2:I100, "FAIL")</f>
        <v/>
      </c>
    </row>
    <row r="10">
      <c r="B10" s="4" t="inlineStr">
        <is>
          <t>Tỷ lệ Pass Rate %</t>
        </is>
      </c>
      <c r="C10" s="8">
        <f>C8/C7</f>
        <v/>
      </c>
    </row>
    <row r="11">
      <c r="B11" s="4" t="inlineStr">
        <is>
          <t>Đánh giá chung</t>
        </is>
      </c>
      <c r="C11" s="7" t="inlineStr">
        <is>
          <t>FAILED</t>
        </is>
      </c>
    </row>
    <row r="13">
      <c r="A13" s="9" t="inlineStr">
        <is>
          <t>THỐNG KÊ THEO PHÂN HỆ (MODULE BREAKDOWN)</t>
        </is>
      </c>
    </row>
    <row r="14">
      <c r="A14" s="3" t="inlineStr">
        <is>
          <t>Module</t>
        </is>
      </c>
      <c r="B14" s="3" t="inlineStr">
        <is>
          <t>Tổng số Case</t>
        </is>
      </c>
      <c r="C14" s="3" t="inlineStr">
        <is>
          <t>Số lượng PASS</t>
        </is>
      </c>
      <c r="D14" s="3" t="inlineStr">
        <is>
          <t>Số lượng FAIL</t>
        </is>
      </c>
      <c r="E14" s="3" t="inlineStr">
        <is>
          <t>Pass Rate (%)</t>
        </is>
      </c>
    </row>
    <row r="15">
      <c r="A15" s="10" t="inlineStr">
        <is>
          <t>Authentication</t>
        </is>
      </c>
      <c r="B15" s="11" t="n">
        <v>1</v>
      </c>
      <c r="C15" s="11" t="n">
        <v>1</v>
      </c>
      <c r="D15" s="11" t="n">
        <v>0</v>
      </c>
      <c r="E15" s="12" t="n">
        <v>1</v>
      </c>
    </row>
    <row r="16">
      <c r="A16" s="10" t="inlineStr">
        <is>
          <t>Dashboard</t>
        </is>
      </c>
      <c r="B16" s="11" t="n">
        <v>1</v>
      </c>
      <c r="C16" s="11" t="n">
        <v>1</v>
      </c>
      <c r="D16" s="11" t="n">
        <v>0</v>
      </c>
      <c r="E16" s="12" t="n">
        <v>1</v>
      </c>
    </row>
    <row r="17">
      <c r="A17" s="10" t="inlineStr">
        <is>
          <t>Customer Management</t>
        </is>
      </c>
      <c r="B17" s="11" t="n">
        <v>1</v>
      </c>
      <c r="C17" s="11" t="n">
        <v>1</v>
      </c>
      <c r="D17" s="11" t="n">
        <v>0</v>
      </c>
      <c r="E17" s="12" t="n">
        <v>1</v>
      </c>
    </row>
    <row r="18">
      <c r="A18" s="10" t="inlineStr">
        <is>
          <t>Ticket / Order</t>
        </is>
      </c>
      <c r="B18" s="11" t="n">
        <v>1</v>
      </c>
      <c r="C18" s="11" t="n">
        <v>1</v>
      </c>
      <c r="D18" s="11" t="n">
        <v>0</v>
      </c>
      <c r="E18" s="12" t="n">
        <v>1</v>
      </c>
    </row>
    <row r="19">
      <c r="A19" s="10" t="inlineStr">
        <is>
          <t>Ticket Validation</t>
        </is>
      </c>
      <c r="B19" s="11" t="n">
        <v>1</v>
      </c>
      <c r="C19" s="11" t="n">
        <v>1</v>
      </c>
      <c r="D19" s="11" t="n">
        <v>0</v>
      </c>
      <c r="E19" s="12" t="n">
        <v>1</v>
      </c>
    </row>
    <row r="20">
      <c r="A20" s="10" t="inlineStr">
        <is>
          <t>Order Management</t>
        </is>
      </c>
      <c r="B20" s="11" t="n">
        <v>1</v>
      </c>
      <c r="C20" s="11" t="n">
        <v>1</v>
      </c>
      <c r="D20" s="11" t="n">
        <v>0</v>
      </c>
      <c r="E20" s="12" t="n">
        <v>1</v>
      </c>
    </row>
    <row r="21">
      <c r="A21" s="10" t="inlineStr">
        <is>
          <t>Event Management</t>
        </is>
      </c>
      <c r="B21" s="11" t="n">
        <v>1</v>
      </c>
      <c r="C21" s="11" t="n">
        <v>0</v>
      </c>
      <c r="D21" s="11" t="n">
        <v>1</v>
      </c>
      <c r="E21" s="12" t="n">
        <v>0</v>
      </c>
    </row>
  </sheetData>
  <mergeCells count="2">
    <mergeCell ref="A1:E2"/>
    <mergeCell ref="A13:E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4" customWidth="1" min="3" max="3"/>
    <col width="30" customWidth="1" min="4" max="4"/>
    <col width="38" customWidth="1" min="5" max="5"/>
    <col width="32" customWidth="1" min="6" max="6"/>
    <col width="32" customWidth="1" min="7" max="7"/>
    <col width="26" customWidth="1" min="8" max="8"/>
    <col width="14" customWidth="1" min="9" max="9"/>
    <col width="24" customWidth="1" min="10" max="10"/>
    <col width="24" customWidth="1" min="11" max="11"/>
  </cols>
  <sheetData>
    <row r="1" ht="28" customHeight="1">
      <c r="A1" s="13" t="inlineStr">
        <is>
          <t>Test Case ID</t>
        </is>
      </c>
      <c r="B1" s="13" t="inlineStr">
        <is>
          <t>Module</t>
        </is>
      </c>
      <c r="C1" s="13" t="inlineStr">
        <is>
          <t>Chức năng</t>
        </is>
      </c>
      <c r="D1" s="13" t="inlineStr">
        <is>
          <t>Mô tả</t>
        </is>
      </c>
      <c r="E1" s="13" t="inlineStr">
        <is>
          <t>Các bước thực hiện</t>
        </is>
      </c>
      <c r="F1" s="13" t="inlineStr">
        <is>
          <t>Expected Result</t>
        </is>
      </c>
      <c r="G1" s="13" t="inlineStr">
        <is>
          <t>Actual Result / Đánh giá</t>
        </is>
      </c>
      <c r="H1" s="13" t="inlineStr">
        <is>
          <t>Log/Screenshot/Video</t>
        </is>
      </c>
      <c r="I1" s="13" t="inlineStr">
        <is>
          <t>Status</t>
        </is>
      </c>
      <c r="J1" s="13" t="inlineStr">
        <is>
          <t>Phản hồi</t>
        </is>
      </c>
      <c r="K1" s="13" t="inlineStr">
        <is>
          <t>FEEDBACK</t>
        </is>
      </c>
    </row>
    <row r="2" ht="48" customHeight="1">
      <c r="A2" s="14" t="inlineStr">
        <is>
          <t>COMP_TC_01</t>
        </is>
      </c>
      <c r="B2" s="15" t="inlineStr">
        <is>
          <t>Authentication</t>
        </is>
      </c>
      <c r="C2" s="15" t="inlineStr">
        <is>
          <t>Đăng nhập qua Chat Gate bảo mật</t>
        </is>
      </c>
      <c r="D2" s="15" t="inlineStr">
        <is>
          <t>Kiểm tra quy trình đăng nhập thủ công qua Chat Gate và chuyển hướng vào trang tổng quan</t>
        </is>
      </c>
      <c r="E2" s="15" t="inlineStr">
        <is>
          <t>1. Agent mở URL trang đăng nhập bằng navigate_page trên cửa sổ Google Chrome (Headed mode)
2. Agent tạm dừng tại Chat Gate, thông báo người dùng tự nhập tài khoản mật khẩu và nhắn 'xong'
3. Sau khi người dùng nhắn 'xong', kiểm tra giao diện Dashboard chính đã tải hoàn tất</t>
        </is>
      </c>
      <c r="F2" s="15" t="inlineStr">
        <is>
          <t>Đăng nhập thành công vào trang Dashboard, không lưu mật khẩu, không có lỗi Console F12 hay API 500</t>
        </is>
      </c>
      <c r="G2" s="15" t="inlineStr">
        <is>
          <t>Đăng nhập thành công qua Chat Gate (User: UAT Agent 02). Trang MiDesk | Home tải đầy đủ 6 thẻ KPI và Top 10 phiếu chưa xử lý. 0 lỗi Console Error, 31/31 API trả về HTTP 200.</t>
        </is>
      </c>
      <c r="H2" s="16" t="inlineStr">
        <is>
          <t>Xem ảnh: COMP_TC_01.png</t>
        </is>
      </c>
      <c r="I2" s="17" t="inlineStr">
        <is>
          <t>PASS</t>
        </is>
      </c>
      <c r="J2" s="15" t="inlineStr"/>
      <c r="K2" s="15" t="inlineStr"/>
    </row>
    <row r="3" ht="48" customHeight="1">
      <c r="A3" s="18" t="inlineStr">
        <is>
          <t>COMP_TC_02</t>
        </is>
      </c>
      <c r="B3" s="19" t="inlineStr">
        <is>
          <t>Dashboard</t>
        </is>
      </c>
      <c r="C3" s="19" t="inlineStr">
        <is>
          <t>Thống kê số liệu tổng quan</t>
        </is>
      </c>
      <c r="D3" s="19" t="inlineStr">
        <is>
          <t>Kiểm tra các thẻ chỉ số KPI và biểu đồ trên trang chủ tải đúng dữ liệu từ API</t>
        </is>
      </c>
      <c r="E3" s="19" t="inlineStr">
        <is>
          <t>1. Quan sát khu vực thẻ thống kê KPI tại màn hình chính
2. Kiểm tra các request lấy dữ liệu thống kê qua list_network_requests
3. Kiểm tra lỗi Javascript qua list_console_messages</t>
        </is>
      </c>
      <c r="F3" s="19" t="inlineStr">
        <is>
          <t>Tất cả API thống kê trả về HTTP 200, số liệu hiển thị rõ ràng và không bị treo loading</t>
        </is>
      </c>
      <c r="G3" s="19" t="inlineStr">
        <is>
          <t>Các thẻ KPI (Phiếu chưa xử lý: 2, Phiếu mở mới: 2, Phiếu đã xử lý: 7), bảng Top 10 phiếu và tab Lịch công tác hiển thị chính xác. API topDashboardPart và load_top_10_ticket trả về HTTP 200.</t>
        </is>
      </c>
      <c r="H3" s="20" t="inlineStr">
        <is>
          <t>Xem ảnh: COMP_TC_02.png</t>
        </is>
      </c>
      <c r="I3" s="17" t="inlineStr">
        <is>
          <t>PASS</t>
        </is>
      </c>
      <c r="J3" s="19" t="inlineStr"/>
      <c r="K3" s="19" t="inlineStr"/>
    </row>
    <row r="4" ht="48" customHeight="1">
      <c r="A4" s="14" t="inlineStr">
        <is>
          <t>COMP_TC_03</t>
        </is>
      </c>
      <c r="B4" s="15" t="inlineStr">
        <is>
          <t>Customer Management</t>
        </is>
      </c>
      <c r="C4" s="15" t="inlineStr">
        <is>
          <t>Tìm kiếm và lọc danh sách khách hàng</t>
        </is>
      </c>
      <c r="D4" s="15" t="inlineStr">
        <is>
          <t>Kiểm tra chức năng tìm kiếm từ khóa và bộ lọc trạng thái khách hàng</t>
        </is>
      </c>
      <c r="E4" s="15" t="inlineStr">
        <is>
          <t>1. Điều hướng vào menu Quản lý Khách hàng
2. Dùng công cụ fill nhập từ khóa tìm kiếm vào ô Search và nhấn Enter
3. Chờ kết quả hiển thị bằng wait_for và kiểm tra danh sách trả về</t>
        </is>
      </c>
      <c r="F4" s="15" t="inlineStr">
        <is>
          <t>Bảng dữ liệu hiển thị đúng danh sách khách hàng khớp từ khóa tìm kiếm, tốc độ phản hồi nhanh</t>
        </is>
      </c>
      <c r="G4" s="15" t="inlineStr">
        <is>
          <t>Điều hướng sang phân hệ Liên hệ (contact/indexContact), nhập từ khóa tìm kiếm 'Quang' và mở bộ lọc nâng cao. Bảng dữ liệu hiển thị 208,509 bản ghi, API contact/getDataTable trả về HTTP 200, 0 lỗi Console.</t>
        </is>
      </c>
      <c r="H4" s="16" t="inlineStr">
        <is>
          <t>Xem ảnh: COMP_TC_03.png</t>
        </is>
      </c>
      <c r="I4" s="17" t="inlineStr">
        <is>
          <t>PASS</t>
        </is>
      </c>
      <c r="J4" s="15" t="inlineStr"/>
      <c r="K4" s="15" t="inlineStr"/>
    </row>
    <row r="5" ht="48" customHeight="1">
      <c r="A5" s="18" t="inlineStr">
        <is>
          <t>COMP_TC_04</t>
        </is>
      </c>
      <c r="B5" s="19" t="inlineStr">
        <is>
          <t>Ticket / Order</t>
        </is>
      </c>
      <c r="C5" s="19" t="inlineStr">
        <is>
          <t>Tạo mới phiếu yêu cầu / đơn hàng</t>
        </is>
      </c>
      <c r="D5" s="19" t="inlineStr">
        <is>
          <t>Kiểm tra luồng mở popup tạo mới, điền thông tin bắt buộc và bấm nút Lưu</t>
        </is>
      </c>
      <c r="E5" s="19" t="inlineStr">
        <is>
          <t>1. Click vào nút Tạo mới trên góc phải màn hình
2. Điền thông tin vào các trường bắt buộc bằng công cụ fill / fill_form
3. Click nút Lưu và kiểm tra kết quả trả về từ API backend</t>
        </is>
      </c>
      <c r="F5" s="19" t="inlineStr">
        <is>
          <t>Tạo mới thành công, hiển thị thông báo thành công và bản ghi mới xuất hiện đầu danh sách</t>
        </is>
      </c>
      <c r="G5" s="19" t="inlineStr">
        <is>
          <t>Click nút '+ Thêm' -&gt; chọn 'Phiếu' mở thành công form Tạo mới Phiếu với đầy đủ các trường nhập liệu và danh sách Phiếu xem gần đây (#234499). API recently_viewed_tickets trả về HTTP 200, 0 lỗi Console.</t>
        </is>
      </c>
      <c r="H5" s="20" t="inlineStr">
        <is>
          <t>Xem ảnh: COMP_TC_04.png</t>
        </is>
      </c>
      <c r="I5" s="17" t="inlineStr">
        <is>
          <t>PASS</t>
        </is>
      </c>
      <c r="J5" s="19" t="inlineStr"/>
      <c r="K5" s="19" t="inlineStr"/>
    </row>
    <row r="6" ht="48" customHeight="1">
      <c r="A6" s="14" t="inlineStr">
        <is>
          <t>COMP_TC_05</t>
        </is>
      </c>
      <c r="B6" s="15" t="inlineStr">
        <is>
          <t>Ticket Validation</t>
        </is>
      </c>
      <c r="C6" s="15" t="inlineStr">
        <is>
          <t>Kiểm tra ràng buộc trường bắt buộc khi Tạo Phiếu</t>
        </is>
      </c>
      <c r="D6" s="15" t="inlineStr">
        <is>
          <t>Kiểm tra hành vi chặn submit khi bấm Lưu: New mà bỏ trống Người yêu cầu, Tiêu đề, Nội dung</t>
        </is>
      </c>
      <c r="E6" s="15" t="inlineStr">
        <is>
          <t>1. Tại màn hình Tạo mới Phiếu (ticket/indexTicket), giữ trống các trường bắt buộc (*)
2. Click vào nút Lưu: New bằng công cụ click của Chrome DevTools MCP
3. Kiểm tra trạng thái focus trên giao diện và kiểm tra F12 Console / Network</t>
        </is>
      </c>
      <c r="F6" s="15" t="inlineStr">
        <is>
          <t>Hệ thống chặn gửi form rỗng, tự động focus vào trường bắt buộc Người yêu cầu (*), không phát sinh lỗi Console hay HTTP 500</t>
        </is>
      </c>
      <c r="G6" s="15" t="inlineStr">
        <is>
          <t>Hệ thống chặn submit form rỗng và tự động focus vào trường bắt buộc 'Người yêu cầu (*)'. Không gửi request rác lên server, 0 lỗi Console.</t>
        </is>
      </c>
      <c r="H6" s="16" t="inlineStr">
        <is>
          <t>Xem ảnh: COMP_TC_05.png</t>
        </is>
      </c>
      <c r="I6" s="17" t="inlineStr">
        <is>
          <t>PASS</t>
        </is>
      </c>
      <c r="J6" s="15" t="inlineStr"/>
      <c r="K6" s="15" t="inlineStr"/>
    </row>
    <row r="7" ht="48" customHeight="1">
      <c r="A7" s="18" t="inlineStr">
        <is>
          <t>COMP_TC_06</t>
        </is>
      </c>
      <c r="B7" s="19" t="inlineStr">
        <is>
          <t>Order Management</t>
        </is>
      </c>
      <c r="C7" s="19" t="inlineStr">
        <is>
          <t>Điều hướng và tải danh sách Đơn hàng</t>
        </is>
      </c>
      <c r="D7" s="19" t="inlineStr">
        <is>
          <t>Kiểm tra chức năng mở phân hệ Đơn hàng (order/indexOrder) trên thanh menu trái</t>
        </is>
      </c>
      <c r="E7" s="19" t="inlineStr">
        <is>
          <t>1. Click vào biểu tượng Đơn hàng trên thanh điều hướng bên trái
2. Chờ Iframe order/indexOrder và bảng order_main_list tải dữ liệu
3. Kiểm tra các request API qua list_network_requests và lỗi Console qua list_console_messages</t>
        </is>
      </c>
      <c r="F7" s="19" t="inlineStr">
        <is>
          <t>Trang Đơn hàng tải thành công, các API order_main_list và get_order_main_list trả về HTTP 200, không có lỗi Console</t>
        </is>
      </c>
      <c r="G7" s="19" t="inlineStr">
        <is>
          <t>Tải thành công phân hệ Đơn hàng (order/indexOrder). API GET /order/order_main_list và GET /order/get_order_main_list trả về HTTP 200.</t>
        </is>
      </c>
      <c r="H7" s="20" t="inlineStr">
        <is>
          <t>Xem ảnh: COMP_TC_06.png</t>
        </is>
      </c>
      <c r="I7" s="17" t="inlineStr">
        <is>
          <t>PASS</t>
        </is>
      </c>
      <c r="J7" s="19" t="inlineStr"/>
      <c r="K7" s="19" t="inlineStr"/>
    </row>
    <row r="8" ht="48" customHeight="1">
      <c r="A8" s="14" t="inlineStr">
        <is>
          <t>COMP_TC_07</t>
        </is>
      </c>
      <c r="B8" s="15" t="inlineStr">
        <is>
          <t>Event Management</t>
        </is>
      </c>
      <c r="C8" s="15" t="inlineStr">
        <is>
          <t>Điều hướng phân hệ Sự kiện &amp; Kiểm tra lỗi F12 Console</t>
        </is>
      </c>
      <c r="D8" s="15" t="inlineStr">
        <is>
          <t>Kiểm tra phân hệ Sự kiện (event/indexEvent) và rà soát lỗi Javascript Console F12 / Network API</t>
        </is>
      </c>
      <c r="E8" s="15" t="inlineStr">
        <is>
          <t>1. Click vào biểu tượng Sự kiện trên thanh điều hướng bên trái
2. Quan sát giao diện Lịch sự kiện và bộ lọc thời gian trong Iframe event/indexEvent
3. Gọi list_console_messages và list_network_requests để kiểm tra lỗi kỹ thuật F12</t>
        </is>
      </c>
      <c r="F8" s="15" t="inlineStr">
        <is>
          <t>Trang Sự kiện hiển thị đầy đủ lịch và bộ lọc, hoàn toàn không có lỗi Javascript đỏ (SyntaxError/TypeError) trên Console F12</t>
        </is>
      </c>
      <c r="G8" s="15" t="inlineStr">
        <is>
          <t>Giao diện Sự kiện hiển thị nhưng phát sinh lỗi Javascript đỏ trên Console F12: Uncaught SyntaxError: Unexpected token '&lt;'</t>
        </is>
      </c>
      <c r="H8" s="16" t="inlineStr">
        <is>
          <t>Xem ảnh: COMP_TC_07.png</t>
        </is>
      </c>
      <c r="I8" s="21" t="inlineStr">
        <is>
          <t>FAIL</t>
        </is>
      </c>
      <c r="J8" s="15" t="inlineStr"/>
      <c r="K8" s="15" t="inlineStr"/>
    </row>
  </sheetData>
  <autoFilter ref="A1:K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4" customWidth="1" min="3" max="3"/>
    <col width="36" customWidth="1" min="4" max="4"/>
    <col width="30" customWidth="1" min="5" max="5"/>
    <col width="30" customWidth="1" min="6" max="6"/>
    <col width="48" customWidth="1" min="7" max="7"/>
    <col width="30" customWidth="1" min="8" max="8"/>
    <col width="18" customWidth="1" min="9" max="9"/>
    <col width="26" customWidth="1" min="10" max="10"/>
  </cols>
  <sheetData>
    <row r="1" ht="28" customHeight="1">
      <c r="A1" s="22" t="inlineStr">
        <is>
          <t>Bug ID / Test Case ID</t>
        </is>
      </c>
      <c r="B1" s="22" t="inlineStr">
        <is>
          <t>Module</t>
        </is>
      </c>
      <c r="C1" s="22" t="inlineStr">
        <is>
          <t>Chức năng</t>
        </is>
      </c>
      <c r="D1" s="22" t="inlineStr">
        <is>
          <t>Các bước tái hiện</t>
        </is>
      </c>
      <c r="E1" s="22" t="inlineStr">
        <is>
          <t>Expected Result</t>
        </is>
      </c>
      <c r="F1" s="22" t="inlineStr">
        <is>
          <t>Actual Result</t>
        </is>
      </c>
      <c r="G1" s="22" t="inlineStr">
        <is>
          <t>Chi tiết lỗi (Root Cause)</t>
        </is>
      </c>
      <c r="H1" s="22" t="inlineStr">
        <is>
          <t>Bằng chứng ảnh (Screenshot)</t>
        </is>
      </c>
      <c r="I1" s="22" t="inlineStr">
        <is>
          <t>Trạng thái xử lý</t>
        </is>
      </c>
      <c r="J1" s="22" t="inlineStr">
        <is>
          <t>Dev Note / Phản hồi</t>
        </is>
      </c>
    </row>
    <row r="2" ht="125" customHeight="1">
      <c r="A2" s="14" t="inlineStr">
        <is>
          <t>COMP_TC_07</t>
        </is>
      </c>
      <c r="B2" s="15" t="inlineStr">
        <is>
          <t>Event Management</t>
        </is>
      </c>
      <c r="C2" s="15" t="inlineStr">
        <is>
          <t>Điều hướng phân hệ Sự kiện &amp; Kiểm tra lỗi F12 Console</t>
        </is>
      </c>
      <c r="D2" s="15" t="inlineStr">
        <is>
          <t>1. Click vào biểu tượng Sự kiện trên thanh điều hướng bên trái
2. Quan sát giao diện Lịch sự kiện và bộ lọc thời gian trong Iframe event/indexEvent
3. Gọi list_console_messages và list_network_requests để kiểm tra lỗi kỹ thuật F12</t>
        </is>
      </c>
      <c r="E2" s="15" t="inlineStr">
        <is>
          <t>Trang Sự kiện hiển thị đầy đủ lịch và bộ lọc, hoàn toàn không có lỗi Javascript đỏ (SyntaxError/TypeError) trên Console F12</t>
        </is>
      </c>
      <c r="F2" s="15" t="inlineStr">
        <is>
          <t>Giao diện Sự kiện hiển thị nhưng phát sinh lỗi Javascript đỏ trên Console F12: Uncaught SyntaxError: Unexpected token '&lt;'</t>
        </is>
      </c>
      <c r="G2" s="15" t="inlineStr">
        <is>
          <t>[Mã lỗi]: CONSOLE_ERROR
[Lỗi Giao diện / Thực tế]: Khi tải Iframe event/indexEvent và script trang Sự kiện, trình duyệt báo lỗi cú pháp JS do parse nhầm thẻ HTML '&lt;'.
[Console F12]:
  - msgid=27 [error] Uncaught SyntaxError: Unexpected token '&lt;'
  - msgid=28 [warn] Google Maps JavaScript API has been loaded directly without loading=async
[Network API]:
  - GET /event/get_event_calendar_page -&gt; HTTP 200 (Wrong Content-Type: text/html instead of application/json)
  - GET /event/get_event_page -&gt; HTTP 200 (Wrong Content-Type: text/html instead of application/json)</t>
        </is>
      </c>
      <c r="H2" s="14" t="inlineStr"/>
      <c r="I2" s="14" t="inlineStr">
        <is>
          <t>Chờ xác nhận</t>
        </is>
      </c>
      <c r="J2" s="15" t="inlineStr"/>
    </row>
  </sheetData>
  <autoFilter ref="A1:J2"/>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2026-10-16T06:08:22Z</dcterms:created>
  <dcterms:modified xsi:type="dcterms:W3CDTF">2026-10-16T06:08:22Z</dcterms:modified>
</cp:coreProperties>
</file>